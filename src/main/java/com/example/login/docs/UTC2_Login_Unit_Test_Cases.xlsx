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A15130A-6781-4342-8D53-AD86BDE59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Test Cases" sheetId="1" r:id="rId1"/>
    <sheet name="Summary" sheetId="2" r:id="rId2"/>
    <sheet name="Notes" sheetId="3" r:id="rId3"/>
  </sheets>
  <definedNames>
    <definedName name="_xlnm._FilterDatabase" localSheetId="0" hidden="1">'Unit Test Cases'!$A$1:$L$25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<sst xmlns="http://schemas.openxmlformats.org/spreadsheetml/2006/main" count="103" uniqueCount="90">
  <si>
    <t>Positive</t>
  </si>
  <si>
    <t>Negative</t>
  </si>
  <si>
    <t>Validation</t>
  </si>
  <si>
    <t>Boundary</t>
  </si>
  <si>
    <t>Đăng nhập thất bại</t>
  </si>
  <si>
    <t>Security</t>
  </si>
  <si>
    <t>Hạng mục</t>
  </si>
  <si>
    <t>Giá trị</t>
  </si>
  <si>
    <t>Đối tượng kiểm thử</t>
  </si>
  <si>
    <t>Logic Login (Unit-level)</t>
  </si>
  <si>
    <t>Số Unit Test Case</t>
  </si>
  <si>
    <t>Có Mock</t>
  </si>
  <si>
    <t>Chưa chạy</t>
  </si>
  <si>
    <t>Lưu ý quan trọng</t>
  </si>
  <si>
    <t>Các Test Case Unit Test này kiểm tra logic của các class giả định như LoginValidator, LoginService, LoginController.</t>
  </si>
  <si>
    <t>Website UTC2 là hệ thống bên ngoài; không có mã nguồn backend của UTC2 nên không thể viết Unit Test trực tiếp cho code backend của UTC2.</t>
  </si>
  <si>
    <t>Các Test Case UI như kiểm tra ô username, checkbox 'Giữ tôi luôn đăng nhập', link quên mật khẩu, đăng nhập bằng e-mail UTC nên thực hiện bằng Selenium Automation Test.</t>
  </si>
  <si>
    <t>Khi bạn tạo project Spring Boot, có thể điều chỉnh tên class/method trong Excel theo code thực tế.</t>
  </si>
  <si>
    <t>JUnit 5 dùng các assertion như assertTrue, assertFalse, assertEquals, assertDoesNotThrow; Mockito dùng khi cần mock Repository/Service.</t>
  </si>
  <si>
    <t>TC ID</t>
  </si>
  <si>
    <t>Test Case</t>
  </si>
  <si>
    <t>Tiền điều kiện</t>
  </si>
  <si>
    <t>Dữ liệu đầu vào</t>
  </si>
  <si>
    <t>Các bước thực hiện</t>
  </si>
  <si>
    <t>Kết quả mong đợi</t>
  </si>
  <si>
    <t>TC_LOGIN_01</t>
  </si>
  <si>
    <t>Đăng nhập với thông tin hợp lệ</t>
  </si>
  <si>
    <t>Đang ở trang Login, tài khoản tồn tại</t>
  </si>
  <si>
    <t>Username đúng, Password đúng</t>
  </si>
  <si>
    <t>1. Nhập username</t>
  </si>
  <si>
    <t>2. Nhập password</t>
  </si>
  <si>
    <r>
      <t xml:space="preserve">3. Nhấn </t>
    </r>
    <r>
      <rPr>
        <b/>
        <sz val="11"/>
        <color theme="1"/>
        <rFont val="Calibri"/>
        <family val="2"/>
        <scheme val="minor"/>
      </rPr>
      <t>Đăng nhập</t>
    </r>
  </si>
  <si>
    <t>Đăng nhập thành công và chuyển đến trang chính/hệ thống</t>
  </si>
  <si>
    <t>TC_LOGIN_02</t>
  </si>
  <si>
    <t>Username đúng, password sai</t>
  </si>
  <si>
    <t>Tài khoản tồn tại</t>
  </si>
  <si>
    <t>Username đúng, Password sai</t>
  </si>
  <si>
    <r>
      <t xml:space="preserve">Nhập thông tin → nhấn </t>
    </r>
    <r>
      <rPr>
        <b/>
        <sz val="11"/>
        <color theme="1"/>
        <rFont val="Calibri"/>
        <family val="2"/>
        <scheme val="minor"/>
      </rPr>
      <t>Đăng nhập</t>
    </r>
  </si>
  <si>
    <t>Đăng nhập thất bại và hiển thị thông báo lỗi</t>
  </si>
  <si>
    <t>TC_LOGIN_03</t>
  </si>
  <si>
    <t>Username sai, password đúng</t>
  </si>
  <si>
    <t>Đang ở trang Login</t>
  </si>
  <si>
    <t>Username sai, Password đúng</t>
  </si>
  <si>
    <t>TC_LOGIN_04</t>
  </si>
  <si>
    <t>Username và password đều sai</t>
  </si>
  <si>
    <t>Username sai, Password sai</t>
  </si>
  <si>
    <t>TC_LOGIN_05</t>
  </si>
  <si>
    <t>Bỏ trống username</t>
  </si>
  <si>
    <t>Username: rỗng</t>
  </si>
  <si>
    <t>Password: hợp lệ</t>
  </si>
  <si>
    <r>
      <t xml:space="preserve">Để trống username → nhập password → nhấn </t>
    </r>
    <r>
      <rPr>
        <b/>
        <sz val="11"/>
        <color theme="1"/>
        <rFont val="Calibri"/>
        <family val="2"/>
        <scheme val="minor"/>
      </rPr>
      <t>Đăng nhập</t>
    </r>
  </si>
  <si>
    <t>Hiển thị yêu cầu nhập username; không đăng nhập</t>
  </si>
  <si>
    <t>TC_LOGIN_06</t>
  </si>
  <si>
    <t>Bỏ trống password</t>
  </si>
  <si>
    <t>Username: hợp lệ</t>
  </si>
  <si>
    <t>Password: rỗng</t>
  </si>
  <si>
    <r>
      <t xml:space="preserve">Nhập username → để trống password → nhấn </t>
    </r>
    <r>
      <rPr>
        <b/>
        <sz val="11"/>
        <color theme="1"/>
        <rFont val="Calibri"/>
        <family val="2"/>
        <scheme val="minor"/>
      </rPr>
      <t>Đăng nhập</t>
    </r>
  </si>
  <si>
    <t>Hiển thị yêu cầu nhập password; không đăng nhập</t>
  </si>
  <si>
    <t>TC_LOGIN_07</t>
  </si>
  <si>
    <t>Bỏ trống cả username và password</t>
  </si>
  <si>
    <r>
      <t xml:space="preserve">Để trống cả hai → nhấn </t>
    </r>
    <r>
      <rPr>
        <b/>
        <sz val="11"/>
        <color theme="1"/>
        <rFont val="Calibri"/>
        <family val="2"/>
        <scheme val="minor"/>
      </rPr>
      <t>Đăng nhập</t>
    </r>
  </si>
  <si>
    <t>Hiển thị thông báo/yêu cầu nhập dữ liệu; không đăng nhập</t>
  </si>
  <si>
    <t>TC_LOGIN_08</t>
  </si>
  <si>
    <t>Username có khoảng trắng đầu/cuối</t>
  </si>
  <si>
    <t>" username "</t>
  </si>
  <si>
    <t>Nhập username có khoảng trắng → nhập password đúng → đăng nhập</t>
  </si>
  <si>
    <t>Hệ thống xử lý đúng theo đặc tả; không phát sinh lỗi</t>
  </si>
  <si>
    <t>TC_LOGIN_09</t>
  </si>
  <si>
    <t>Password có khoảng trắng</t>
  </si>
  <si>
    <t>Nhập username → nhập password có khoảng trắng → đăng nhập</t>
  </si>
  <si>
    <t>Hệ thống xử lý đúng theo đặc tả; không đăng nhập sai ngoài dự kiến</t>
  </si>
  <si>
    <t>TC_LOGIN_10</t>
  </si>
  <si>
    <t>Nhập ký tự đặc biệt</t>
  </si>
  <si>
    <r>
      <t>'&lt;script&gt;alert(1)&lt;/script&gt;</t>
    </r>
    <r>
      <rPr>
        <sz val="11"/>
        <color theme="1"/>
        <rFont val="Calibri"/>
        <family val="2"/>
        <scheme val="minor"/>
      </rPr>
      <t xml:space="preserve"> hoặc ký tự đặc biệt</t>
    </r>
  </si>
  <si>
    <t>Nhập dữ liệu vào username/password → đăng nhập</t>
  </si>
  <si>
    <t>Hệ thống không thực thi mã độc, không crash và xử lý dữ liệu an toàn</t>
  </si>
  <si>
    <t>TC_LOGIN_11</t>
  </si>
  <si>
    <t>Nhập dữ liệu vượt quá độ dài cho phép</t>
  </si>
  <si>
    <t>Username/password rất dài</t>
  </si>
  <si>
    <t>Nhập chuỗi vượt giới hạn → đăng nhập</t>
  </si>
  <si>
    <t>Hệ thống giới hạn/validate dữ liệu phù hợp, không crash</t>
  </si>
  <si>
    <t>TC_LOGIN_12</t>
  </si>
  <si>
    <t>Đăng xuất sau khi đăng nhập</t>
  </si>
  <si>
    <t>Đã đăng nhập thành công</t>
  </si>
  <si>
    <t>Tài khoản hợp lệ</t>
  </si>
  <si>
    <t>1. Đăng nhập</t>
  </si>
  <si>
    <r>
      <t xml:space="preserve">2. Chọn </t>
    </r>
    <r>
      <rPr>
        <b/>
        <sz val="11"/>
        <color theme="1"/>
        <rFont val="Calibri"/>
        <family val="2"/>
        <scheme val="minor"/>
      </rPr>
      <t>Đăng xuất</t>
    </r>
  </si>
  <si>
    <t>3. Truy cập lại trang yêu cầu đăng nhập</t>
  </si>
  <si>
    <t>Session kết thúc; người dùng không còn truy cập được chức năng yêu cầu đăng nhập</t>
  </si>
  <si>
    <r>
      <t xml:space="preserve">Nhập thông tin -&gt; nhấn </t>
    </r>
    <r>
      <rPr>
        <b/>
        <sz val="11"/>
        <color theme="1"/>
        <rFont val="Calibri"/>
        <family val="2"/>
        <scheme val="minor"/>
      </rPr>
      <t>Đăng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</si>
</sst>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4" fillId="0" borderId="0" xfId="0" applyFont="1" applyFill="1"/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85" zoomScaleNormal="85" workbookViewId="0">
      <pane ySplit="1" topLeftCell="A2" activePane="bottomLeft" state="frozen"/>
      <selection pane="bottomLeft" activeCell="G9" sqref="G9"/>
    </sheetView>
  </sheetViews>
  <sheetFormatPr defaultRowHeight="14.4"/>
  <cols>
    <col min="1" max="1" width="21.109375" customWidth="1"/>
    <col min="2" max="2" width="40.33203125" customWidth="1"/>
    <col min="3" max="3" width="24" customWidth="1"/>
    <col min="4" max="4" width="30.44140625" customWidth="1"/>
    <col min="5" max="5" width="25.21875" customWidth="1"/>
    <col min="6" max="6" width="30" customWidth="1"/>
    <col min="7" max="7" width="40" customWidth="1"/>
    <col min="8" max="8" width="44" customWidth="1"/>
    <col min="9" max="9" width="48" customWidth="1"/>
    <col min="10" max="10" width="50" customWidth="1"/>
    <col min="11" max="11" width="18" customWidth="1"/>
    <col min="12" max="12" width="14" customWidth="1"/>
  </cols>
  <sheetData>
    <row r="1" spans="1:12" s="4" customFormat="1" ht="34.950000000000003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6"/>
      <c r="B2" s="6"/>
      <c r="C2" s="6"/>
      <c r="D2" s="6"/>
      <c r="E2" s="6"/>
      <c r="F2" s="6"/>
      <c r="G2" s="2"/>
      <c r="H2" s="2"/>
      <c r="I2" s="2"/>
      <c r="J2" s="2"/>
      <c r="K2" s="2"/>
      <c r="L2" s="2"/>
    </row>
    <row r="3" spans="1:12" ht="25.8" customHeight="1">
      <c r="A3" s="8" t="s">
        <v>19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5"/>
      <c r="H3" s="2"/>
      <c r="I3" s="2"/>
      <c r="J3" s="2"/>
      <c r="K3" s="2"/>
      <c r="L3" s="2"/>
    </row>
    <row r="4" spans="1:12" ht="13.8" customHeight="1">
      <c r="A4" s="9" t="s">
        <v>25</v>
      </c>
      <c r="B4" s="10" t="s">
        <v>26</v>
      </c>
      <c r="C4" s="10" t="s">
        <v>27</v>
      </c>
      <c r="D4" s="10" t="s">
        <v>28</v>
      </c>
      <c r="E4" s="11" t="s">
        <v>29</v>
      </c>
      <c r="F4" s="10" t="s">
        <v>32</v>
      </c>
      <c r="G4" s="5"/>
      <c r="H4" s="2"/>
      <c r="I4" s="2"/>
      <c r="J4" s="2"/>
      <c r="K4" s="2"/>
      <c r="L4" s="2"/>
    </row>
    <row r="5" spans="1:12" ht="25.2" customHeight="1">
      <c r="A5" s="9"/>
      <c r="B5" s="10"/>
      <c r="C5" s="10"/>
      <c r="D5" s="10"/>
      <c r="E5" s="11" t="s">
        <v>30</v>
      </c>
      <c r="F5" s="10"/>
      <c r="G5" s="5"/>
      <c r="H5" s="2"/>
      <c r="I5" s="2"/>
      <c r="J5" s="2"/>
      <c r="K5" s="2"/>
      <c r="L5" s="2"/>
    </row>
    <row r="6" spans="1:12" ht="28.8" hidden="1">
      <c r="A6" s="9"/>
      <c r="B6" s="10"/>
      <c r="C6" s="10"/>
      <c r="D6" s="10"/>
      <c r="E6" s="11" t="s">
        <v>31</v>
      </c>
      <c r="F6" s="10"/>
      <c r="G6" s="5"/>
      <c r="H6" s="2"/>
      <c r="I6" s="2"/>
      <c r="J6" s="2"/>
      <c r="K6" s="2"/>
      <c r="L6" s="2"/>
    </row>
    <row r="7" spans="1:12" ht="28.8">
      <c r="A7" s="12" t="s">
        <v>33</v>
      </c>
      <c r="B7" s="11" t="s">
        <v>34</v>
      </c>
      <c r="C7" s="11" t="s">
        <v>35</v>
      </c>
      <c r="D7" s="11" t="s">
        <v>36</v>
      </c>
      <c r="E7" s="11" t="s">
        <v>89</v>
      </c>
      <c r="F7" s="11" t="s">
        <v>38</v>
      </c>
      <c r="G7" s="5"/>
      <c r="H7" s="2"/>
      <c r="I7" s="2"/>
      <c r="J7" s="2"/>
      <c r="K7" s="2"/>
      <c r="L7" s="2"/>
    </row>
    <row r="8" spans="1:12" ht="28.8">
      <c r="A8" s="12" t="s">
        <v>39</v>
      </c>
      <c r="B8" s="11" t="s">
        <v>40</v>
      </c>
      <c r="C8" s="11" t="s">
        <v>41</v>
      </c>
      <c r="D8" s="11" t="s">
        <v>42</v>
      </c>
      <c r="E8" s="11" t="s">
        <v>89</v>
      </c>
      <c r="F8" s="11" t="s">
        <v>38</v>
      </c>
      <c r="G8" s="5"/>
      <c r="H8" s="2"/>
      <c r="I8" s="2"/>
      <c r="J8" s="2"/>
      <c r="K8" s="2"/>
      <c r="L8" s="2"/>
    </row>
    <row r="9" spans="1:12" ht="43.2">
      <c r="A9" s="12" t="s">
        <v>43</v>
      </c>
      <c r="B9" s="11" t="s">
        <v>44</v>
      </c>
      <c r="C9" s="11" t="s">
        <v>41</v>
      </c>
      <c r="D9" s="11" t="s">
        <v>45</v>
      </c>
      <c r="E9" s="11" t="s">
        <v>37</v>
      </c>
      <c r="F9" s="11" t="s">
        <v>4</v>
      </c>
      <c r="G9" s="5"/>
      <c r="H9" s="2"/>
      <c r="I9" s="2"/>
      <c r="J9" s="2"/>
      <c r="K9" s="2"/>
      <c r="L9" s="2"/>
    </row>
    <row r="10" spans="1:12" ht="72" customHeight="1">
      <c r="A10" s="9" t="s">
        <v>46</v>
      </c>
      <c r="B10" s="10" t="s">
        <v>47</v>
      </c>
      <c r="C10" s="10" t="s">
        <v>41</v>
      </c>
      <c r="D10" s="11" t="s">
        <v>48</v>
      </c>
      <c r="E10" s="10" t="s">
        <v>50</v>
      </c>
      <c r="F10" s="10" t="s">
        <v>51</v>
      </c>
      <c r="G10" s="5"/>
      <c r="H10" s="2"/>
      <c r="I10" s="2"/>
      <c r="J10" s="2"/>
      <c r="K10" s="2"/>
      <c r="L10" s="2"/>
    </row>
    <row r="11" spans="1:12">
      <c r="A11" s="9"/>
      <c r="B11" s="10"/>
      <c r="C11" s="10"/>
      <c r="D11" s="11" t="s">
        <v>49</v>
      </c>
      <c r="E11" s="10"/>
      <c r="F11" s="10"/>
      <c r="G11" s="5"/>
      <c r="H11" s="2"/>
      <c r="I11" s="2"/>
      <c r="J11" s="2"/>
      <c r="K11" s="2"/>
      <c r="L11" s="2"/>
    </row>
    <row r="12" spans="1:12" ht="72" customHeight="1">
      <c r="A12" s="9" t="s">
        <v>52</v>
      </c>
      <c r="B12" s="10" t="s">
        <v>53</v>
      </c>
      <c r="C12" s="10" t="s">
        <v>41</v>
      </c>
      <c r="D12" s="11" t="s">
        <v>54</v>
      </c>
      <c r="E12" s="10" t="s">
        <v>56</v>
      </c>
      <c r="F12" s="10" t="s">
        <v>57</v>
      </c>
      <c r="G12" s="5"/>
      <c r="H12" s="2"/>
      <c r="I12" s="2"/>
      <c r="J12" s="2"/>
      <c r="K12" s="2"/>
      <c r="L12" s="2"/>
    </row>
    <row r="13" spans="1:12">
      <c r="A13" s="9"/>
      <c r="B13" s="10"/>
      <c r="C13" s="10"/>
      <c r="D13" s="11" t="s">
        <v>55</v>
      </c>
      <c r="E13" s="10"/>
      <c r="F13" s="10"/>
      <c r="G13" s="5"/>
      <c r="H13" s="2"/>
      <c r="I13" s="2"/>
      <c r="J13" s="2"/>
      <c r="K13" s="2"/>
      <c r="L13" s="2"/>
    </row>
    <row r="14" spans="1:12" ht="28.8" customHeight="1">
      <c r="A14" s="9" t="s">
        <v>58</v>
      </c>
      <c r="B14" s="10" t="s">
        <v>59</v>
      </c>
      <c r="C14" s="10" t="s">
        <v>41</v>
      </c>
      <c r="D14" s="11" t="s">
        <v>48</v>
      </c>
      <c r="E14" s="10" t="s">
        <v>60</v>
      </c>
      <c r="F14" s="10" t="s">
        <v>61</v>
      </c>
      <c r="G14" s="5"/>
      <c r="H14" s="2"/>
      <c r="I14" s="2"/>
      <c r="J14" s="2"/>
      <c r="K14" s="2"/>
      <c r="L14" s="2"/>
    </row>
    <row r="15" spans="1:12">
      <c r="A15" s="9"/>
      <c r="B15" s="10"/>
      <c r="C15" s="10"/>
      <c r="D15" s="11" t="s">
        <v>55</v>
      </c>
      <c r="E15" s="10"/>
      <c r="F15" s="10"/>
      <c r="G15" s="5"/>
      <c r="H15" s="2"/>
      <c r="I15" s="2"/>
      <c r="J15" s="2"/>
      <c r="K15" s="2"/>
      <c r="L15" s="2"/>
    </row>
    <row r="16" spans="1:12" ht="100.8">
      <c r="A16" s="12" t="s">
        <v>62</v>
      </c>
      <c r="B16" s="11" t="s">
        <v>63</v>
      </c>
      <c r="C16" s="11" t="s">
        <v>35</v>
      </c>
      <c r="D16" s="13" t="s">
        <v>64</v>
      </c>
      <c r="E16" s="11" t="s">
        <v>65</v>
      </c>
      <c r="F16" s="11" t="s">
        <v>66</v>
      </c>
      <c r="G16" s="5"/>
      <c r="H16" s="2"/>
      <c r="I16" s="2"/>
      <c r="J16" s="2"/>
      <c r="K16" s="2"/>
      <c r="L16" s="2"/>
    </row>
    <row r="17" spans="1:12" ht="86.4">
      <c r="A17" s="12" t="s">
        <v>67</v>
      </c>
      <c r="B17" s="11" t="s">
        <v>68</v>
      </c>
      <c r="C17" s="11" t="s">
        <v>35</v>
      </c>
      <c r="D17" s="11" t="s">
        <v>68</v>
      </c>
      <c r="E17" s="11" t="s">
        <v>69</v>
      </c>
      <c r="F17" s="11" t="s">
        <v>70</v>
      </c>
      <c r="G17" s="5"/>
      <c r="H17" s="2"/>
      <c r="I17" s="2"/>
      <c r="J17" s="2"/>
      <c r="K17" s="2"/>
      <c r="L17" s="2"/>
    </row>
    <row r="18" spans="1:12" ht="72">
      <c r="A18" s="12" t="s">
        <v>71</v>
      </c>
      <c r="B18" s="11" t="s">
        <v>72</v>
      </c>
      <c r="C18" s="11" t="s">
        <v>41</v>
      </c>
      <c r="D18" s="13" t="s">
        <v>73</v>
      </c>
      <c r="E18" s="11" t="s">
        <v>74</v>
      </c>
      <c r="F18" s="11" t="s">
        <v>75</v>
      </c>
      <c r="G18" s="5"/>
      <c r="H18" s="2"/>
      <c r="I18" s="2"/>
      <c r="J18" s="2"/>
      <c r="K18" s="2"/>
      <c r="L18" s="2"/>
    </row>
    <row r="19" spans="1:12" ht="43.2">
      <c r="A19" s="12" t="s">
        <v>76</v>
      </c>
      <c r="B19" s="11" t="s">
        <v>77</v>
      </c>
      <c r="C19" s="11" t="s">
        <v>41</v>
      </c>
      <c r="D19" s="11" t="s">
        <v>78</v>
      </c>
      <c r="E19" s="11" t="s">
        <v>79</v>
      </c>
      <c r="F19" s="11" t="s">
        <v>80</v>
      </c>
      <c r="G19" s="5"/>
      <c r="H19" s="2"/>
      <c r="I19" s="2"/>
      <c r="J19" s="2"/>
      <c r="K19" s="2"/>
      <c r="L19" s="2"/>
    </row>
    <row r="20" spans="1:12" ht="24" customHeight="1">
      <c r="A20" s="9" t="s">
        <v>81</v>
      </c>
      <c r="B20" s="10" t="s">
        <v>82</v>
      </c>
      <c r="C20" s="10" t="s">
        <v>83</v>
      </c>
      <c r="D20" s="10" t="s">
        <v>84</v>
      </c>
      <c r="E20" s="11" t="s">
        <v>85</v>
      </c>
      <c r="F20" s="10" t="s">
        <v>88</v>
      </c>
      <c r="G20" s="5"/>
      <c r="H20" s="2"/>
      <c r="I20" s="2"/>
      <c r="J20" s="2"/>
      <c r="K20" s="2"/>
      <c r="L20" s="2"/>
    </row>
    <row r="21" spans="1:12" ht="28.8">
      <c r="A21" s="9"/>
      <c r="B21" s="10"/>
      <c r="C21" s="10"/>
      <c r="D21" s="10"/>
      <c r="E21" s="11" t="s">
        <v>86</v>
      </c>
      <c r="F21" s="10"/>
      <c r="G21" s="5"/>
      <c r="H21" s="2"/>
      <c r="I21" s="2"/>
      <c r="J21" s="2"/>
      <c r="K21" s="2"/>
      <c r="L21" s="2"/>
    </row>
    <row r="22" spans="1:12" ht="40.799999999999997" customHeight="1">
      <c r="A22" s="9"/>
      <c r="B22" s="10"/>
      <c r="C22" s="10"/>
      <c r="D22" s="10"/>
      <c r="E22" s="11" t="s">
        <v>87</v>
      </c>
      <c r="F22" s="10"/>
      <c r="G22" s="5"/>
      <c r="H22" s="2"/>
      <c r="I22" s="2"/>
      <c r="J22" s="2"/>
      <c r="K22" s="2"/>
      <c r="L22" s="2"/>
    </row>
    <row r="23" spans="1:12">
      <c r="A23" s="7"/>
      <c r="B23" s="7"/>
      <c r="C23" s="7"/>
      <c r="D23" s="7"/>
      <c r="E23" s="7"/>
      <c r="F23" s="7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mergeCells count="25">
    <mergeCell ref="A20:A22"/>
    <mergeCell ref="B20:B22"/>
    <mergeCell ref="C20:C22"/>
    <mergeCell ref="D20:D22"/>
    <mergeCell ref="F20:F22"/>
    <mergeCell ref="A12:A13"/>
    <mergeCell ref="B12:B13"/>
    <mergeCell ref="C12:C13"/>
    <mergeCell ref="E12:E13"/>
    <mergeCell ref="F12:F13"/>
    <mergeCell ref="A14:A15"/>
    <mergeCell ref="B14:B15"/>
    <mergeCell ref="C14:C15"/>
    <mergeCell ref="E14:E15"/>
    <mergeCell ref="F14:F15"/>
    <mergeCell ref="A4:A6"/>
    <mergeCell ref="B4:B6"/>
    <mergeCell ref="C4:C6"/>
    <mergeCell ref="D4:D6"/>
    <mergeCell ref="F4:F6"/>
    <mergeCell ref="A10:A11"/>
    <mergeCell ref="B10:B11"/>
    <mergeCell ref="C10:C11"/>
    <mergeCell ref="E10:E11"/>
    <mergeCell ref="F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/>
  <cols>
    <col min="1" max="1" width="32" customWidth="1"/>
    <col min="2" max="2" width="28" customWidth="1"/>
  </cols>
  <sheetData>
    <row r="1" spans="1:2">
      <c r="A1" s="1" t="s">
        <v>6</v>
      </c>
      <c r="B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>
        <f>COUNTA('Unit Test Cases'!A2:A25)</f>
        <v>13</v>
      </c>
    </row>
    <row r="4" spans="1:2">
      <c r="A4" s="2" t="s">
        <v>0</v>
      </c>
      <c r="B4" s="2">
        <f>COUNTIF('Unit Test Cases'!D2:D25,"Positive")</f>
        <v>0</v>
      </c>
    </row>
    <row r="5" spans="1:2">
      <c r="A5" s="2" t="s">
        <v>1</v>
      </c>
      <c r="B5" s="2">
        <f>COUNTIF('Unit Test Cases'!D2:D25,"Negative")</f>
        <v>0</v>
      </c>
    </row>
    <row r="6" spans="1:2">
      <c r="A6" s="2" t="s">
        <v>2</v>
      </c>
      <c r="B6" s="2">
        <f>COUNTIF('Unit Test Cases'!D2:D25,"Validation")</f>
        <v>0</v>
      </c>
    </row>
    <row r="7" spans="1:2">
      <c r="A7" s="2" t="s">
        <v>3</v>
      </c>
      <c r="B7" s="2">
        <f>COUNTIF('Unit Test Cases'!D2:D25,"Boundary")</f>
        <v>0</v>
      </c>
    </row>
    <row r="8" spans="1:2">
      <c r="A8" s="2" t="s">
        <v>5</v>
      </c>
      <c r="B8" s="2">
        <f>COUNTIF('Unit Test Cases'!D2:D25,"Security")</f>
        <v>0</v>
      </c>
    </row>
    <row r="9" spans="1:2">
      <c r="A9" s="2" t="s">
        <v>11</v>
      </c>
      <c r="B9" s="2">
        <f>COUNTIF('Unit Test Cases'!K2:K25,"Có")</f>
        <v>0</v>
      </c>
    </row>
    <row r="10" spans="1:2">
      <c r="A10" s="2" t="s">
        <v>12</v>
      </c>
      <c r="B10" s="2">
        <f>COUNTIF('Unit Test Cases'!L2:L25,"Not Run")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/>
  <cols>
    <col min="1" max="1" width="110" customWidth="1"/>
  </cols>
  <sheetData>
    <row r="1" spans="1:1">
      <c r="A1" s="1" t="s">
        <v>13</v>
      </c>
    </row>
    <row r="2" spans="1:1">
      <c r="A2" s="2" t="s">
        <v>14</v>
      </c>
    </row>
    <row r="3" spans="1:1" ht="28.8">
      <c r="A3" s="2" t="s">
        <v>15</v>
      </c>
    </row>
    <row r="4" spans="1:1" ht="28.8">
      <c r="A4" s="2" t="s">
        <v>16</v>
      </c>
    </row>
    <row r="5" spans="1:1">
      <c r="A5" s="2" t="s">
        <v>17</v>
      </c>
    </row>
    <row r="6" spans="1:1" ht="28.8">
      <c r="A6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Test Cases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Vương Nguyễn</cp:lastModifiedBy>
  <dcterms:created xsi:type="dcterms:W3CDTF">2026-10-08T08:22:44Z</dcterms:created>
  <dcterms:modified xsi:type="dcterms:W3CDTF">2026-10-08T08:34:08Z</dcterms:modified>
</cp:coreProperties>
</file>